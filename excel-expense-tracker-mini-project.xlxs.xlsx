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3.xml" ContentType="application/vnd.openxmlformats-officedocument.spreadsheetml.pivot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hidePivotFieldList="1" defaultThemeVersion="124226"/>
  <bookViews>
    <workbookView xWindow="120" yWindow="105" windowWidth="17175" windowHeight="8460" activeTab="2"/>
  </bookViews>
  <sheets>
    <sheet name="Dataset" sheetId="1" r:id="rId1"/>
    <sheet name="Summary" sheetId="2" r:id="rId2"/>
    <sheet name="pivot_Analysis" sheetId="4" r:id="rId3"/>
  </sheets>
  <calcPr calcId="124519"/>
  <pivotCaches>
    <pivotCache cacheId="6" r:id="rId4"/>
  </pivotCaches>
</workbook>
</file>

<file path=xl/calcChain.xml><?xml version="1.0" encoding="utf-8"?>
<calcChain xmlns="http://schemas.openxmlformats.org/spreadsheetml/2006/main">
  <c r="E12" i="2"/>
  <c r="E11"/>
  <c r="E10"/>
  <c r="B9"/>
  <c r="E9"/>
</calcChain>
</file>

<file path=xl/sharedStrings.xml><?xml version="1.0" encoding="utf-8"?>
<sst xmlns="http://schemas.openxmlformats.org/spreadsheetml/2006/main" count="64" uniqueCount="23">
  <si>
    <t>Date</t>
  </si>
  <si>
    <t>Category</t>
  </si>
  <si>
    <t>Description</t>
  </si>
  <si>
    <t>Payment Mode</t>
  </si>
  <si>
    <t>Amount</t>
  </si>
  <si>
    <t>Food</t>
  </si>
  <si>
    <t>Lunch</t>
  </si>
  <si>
    <t>Cash</t>
  </si>
  <si>
    <t>Transport</t>
  </si>
  <si>
    <t>Bus fare</t>
  </si>
  <si>
    <t>UPI</t>
  </si>
  <si>
    <t>Groceries</t>
  </si>
  <si>
    <t>Vegetables</t>
  </si>
  <si>
    <t>Card</t>
  </si>
  <si>
    <t>Entertainment</t>
  </si>
  <si>
    <t>Movie</t>
  </si>
  <si>
    <t>Utilities</t>
  </si>
  <si>
    <t>Mobile Recharge</t>
  </si>
  <si>
    <t>Dinner</t>
  </si>
  <si>
    <t>z</t>
  </si>
  <si>
    <t>Row Labels</t>
  </si>
  <si>
    <t>Grand Total</t>
  </si>
  <si>
    <t>Sum of Amount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</si>
</sst>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[excel-expense-tracker-mini-project.xlxs.xlsx]pivot_Analysis!PivotTable1</c:name>
    <c:fmtId val="0"/>
  </c:pivotSource>
  <c:chart>
    <c:title>
      <c:layout/>
    </c:title>
    <c:pivotFmts>
      <c:pivotFmt>
        <c:idx val="0"/>
        <c:marker>
          <c:symbol val="none"/>
        </c:marker>
      </c:pivotFmt>
    </c:pivotFmts>
    <c:plotArea>
      <c:layout/>
      <c:pieChart>
        <c:varyColors val="1"/>
        <c:ser>
          <c:idx val="0"/>
          <c:order val="0"/>
          <c:tx>
            <c:strRef>
              <c:f>pivot_Analysis!$B$3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pivot_Analysis!$A$4:$A$9</c:f>
              <c:strCache>
                <c:ptCount val="5"/>
                <c:pt idx="0">
                  <c:v>Entertainment</c:v>
                </c:pt>
                <c:pt idx="1">
                  <c:v>Food</c:v>
                </c:pt>
                <c:pt idx="2">
                  <c:v>Groceries</c:v>
                </c:pt>
                <c:pt idx="3">
                  <c:v>Transport</c:v>
                </c:pt>
                <c:pt idx="4">
                  <c:v>Utilities</c:v>
                </c:pt>
              </c:strCache>
            </c:strRef>
          </c:cat>
          <c:val>
            <c:numRef>
              <c:f>pivot_Analysis!$B$4:$B$9</c:f>
              <c:numCache>
                <c:formatCode>General</c:formatCode>
                <c:ptCount val="5"/>
                <c:pt idx="0">
                  <c:v>300</c:v>
                </c:pt>
                <c:pt idx="1">
                  <c:v>370</c:v>
                </c:pt>
                <c:pt idx="2">
                  <c:v>520</c:v>
                </c:pt>
                <c:pt idx="3">
                  <c:v>40</c:v>
                </c:pt>
                <c:pt idx="4">
                  <c:v>249</c:v>
                </c:pt>
              </c:numCache>
            </c:numRef>
          </c:val>
        </c:ser>
        <c:firstSliceAng val="0"/>
      </c:pieChart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[excel-expense-tracker-mini-project.xlxs.xlsx]pivot_Analysis!PivotTable3</c:name>
    <c:fmtId val="0"/>
  </c:pivotSource>
  <c:chart>
    <c:title>
      <c:layout/>
    </c:title>
    <c:pivotFmts>
      <c:pivotFmt>
        <c:idx val="0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pivot_Analysis!$B$12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pivot_Analysis!$A$13:$A$16</c:f>
              <c:strCache>
                <c:ptCount val="3"/>
                <c:pt idx="0">
                  <c:v>Card</c:v>
                </c:pt>
                <c:pt idx="1">
                  <c:v>Cash</c:v>
                </c:pt>
                <c:pt idx="2">
                  <c:v>UPI</c:v>
                </c:pt>
              </c:strCache>
            </c:strRef>
          </c:cat>
          <c:val>
            <c:numRef>
              <c:f>pivot_Analysis!$B$13:$B$16</c:f>
              <c:numCache>
                <c:formatCode>General</c:formatCode>
                <c:ptCount val="3"/>
                <c:pt idx="0">
                  <c:v>520</c:v>
                </c:pt>
                <c:pt idx="1">
                  <c:v>370</c:v>
                </c:pt>
                <c:pt idx="2">
                  <c:v>589</c:v>
                </c:pt>
              </c:numCache>
            </c:numRef>
          </c:val>
        </c:ser>
        <c:axId val="89625344"/>
        <c:axId val="89626880"/>
      </c:barChart>
      <c:catAx>
        <c:axId val="89625344"/>
        <c:scaling>
          <c:orientation val="minMax"/>
        </c:scaling>
        <c:axPos val="b"/>
        <c:tickLblPos val="nextTo"/>
        <c:crossAx val="89626880"/>
        <c:crosses val="autoZero"/>
        <c:auto val="1"/>
        <c:lblAlgn val="ctr"/>
        <c:lblOffset val="100"/>
      </c:catAx>
      <c:valAx>
        <c:axId val="89626880"/>
        <c:scaling>
          <c:orientation val="minMax"/>
        </c:scaling>
        <c:axPos val="l"/>
        <c:majorGridlines/>
        <c:numFmt formatCode="General" sourceLinked="1"/>
        <c:tickLblPos val="nextTo"/>
        <c:crossAx val="8962534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[excel-expense-tracker-mini-project.xlxs.xlsx]pivot_Analysis!PivotTable5</c:name>
    <c:fmtId val="0"/>
  </c:pivotSource>
  <c:chart>
    <c:title>
      <c:layout/>
    </c:title>
    <c:pivotFmts>
      <c:pivotFmt>
        <c:idx val="0"/>
        <c:marker>
          <c:symbol val="none"/>
        </c:marker>
      </c:pivotFmt>
    </c:pivotFmts>
    <c:plotArea>
      <c:layout/>
      <c:lineChart>
        <c:grouping val="standard"/>
        <c:ser>
          <c:idx val="0"/>
          <c:order val="0"/>
          <c:tx>
            <c:strRef>
              <c:f>pivot_Analysis!$B$18</c:f>
              <c:strCache>
                <c:ptCount val="1"/>
                <c:pt idx="0">
                  <c:v>Total</c:v>
                </c:pt>
              </c:strCache>
            </c:strRef>
          </c:tx>
          <c:marker>
            <c:symbol val="none"/>
          </c:marker>
          <c:cat>
            <c:strRef>
              <c:f>pivot_Analysis!$A$19:$A$24</c:f>
              <c:strCache>
                <c:ptCount val="5"/>
                <c:pt idx="0">
                  <c:v>01/01/26</c:v>
                </c:pt>
                <c:pt idx="1">
                  <c:v>02/01/26</c:v>
                </c:pt>
                <c:pt idx="2">
                  <c:v>03/01/26</c:v>
                </c:pt>
                <c:pt idx="3">
                  <c:v>04/01/26</c:v>
                </c:pt>
                <c:pt idx="4">
                  <c:v>05/01/26</c:v>
                </c:pt>
              </c:strCache>
            </c:strRef>
          </c:cat>
          <c:val>
            <c:numRef>
              <c:f>pivot_Analysis!$B$19:$B$24</c:f>
              <c:numCache>
                <c:formatCode>General</c:formatCode>
                <c:ptCount val="5"/>
                <c:pt idx="0">
                  <c:v>190</c:v>
                </c:pt>
                <c:pt idx="1">
                  <c:v>520</c:v>
                </c:pt>
                <c:pt idx="2">
                  <c:v>300</c:v>
                </c:pt>
                <c:pt idx="3">
                  <c:v>249</c:v>
                </c:pt>
                <c:pt idx="4">
                  <c:v>220</c:v>
                </c:pt>
              </c:numCache>
            </c:numRef>
          </c:val>
        </c:ser>
        <c:marker val="1"/>
        <c:axId val="76380032"/>
        <c:axId val="76381568"/>
      </c:lineChart>
      <c:catAx>
        <c:axId val="76380032"/>
        <c:scaling>
          <c:orientation val="minMax"/>
        </c:scaling>
        <c:axPos val="b"/>
        <c:tickLblPos val="nextTo"/>
        <c:crossAx val="76381568"/>
        <c:crosses val="autoZero"/>
        <c:auto val="1"/>
        <c:lblAlgn val="ctr"/>
        <c:lblOffset val="100"/>
      </c:catAx>
      <c:valAx>
        <c:axId val="76381568"/>
        <c:scaling>
          <c:orientation val="minMax"/>
        </c:scaling>
        <c:axPos val="l"/>
        <c:majorGridlines/>
        <c:numFmt formatCode="General" sourceLinked="1"/>
        <c:tickLblPos val="nextTo"/>
        <c:crossAx val="7638003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323850</xdr:colOff>
      <xdr:row>1</xdr:row>
      <xdr:rowOff>161926</xdr:rowOff>
    </xdr:from>
    <xdr:to>
      <xdr:col>10</xdr:col>
      <xdr:colOff>171450</xdr:colOff>
      <xdr:row>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219075</xdr:colOff>
      <xdr:row>9</xdr:row>
      <xdr:rowOff>114301</xdr:rowOff>
    </xdr:from>
    <xdr:to>
      <xdr:col>10</xdr:col>
      <xdr:colOff>266701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257174</xdr:colOff>
      <xdr:row>18</xdr:row>
      <xdr:rowOff>19050</xdr:rowOff>
    </xdr:from>
    <xdr:to>
      <xdr:col>9</xdr:col>
      <xdr:colOff>590549</xdr:colOff>
      <xdr:row>32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28.865324074075" createdVersion="3" refreshedVersion="3" minRefreshableVersion="3" recordCount="6">
  <cacheSource type="worksheet">
    <worksheetSource ref="A1:E7" sheet="Dataset"/>
  </cacheSource>
  <cacheFields count="5">
    <cacheField name="Date" numFmtId="14">
      <sharedItems containsSemiMixedTypes="0" containsNonDate="0" containsDate="1" containsString="0" minDate="2026-01-01T00:00:00" maxDate="2026-05-02T00:00:00" count="5">
        <d v="2026-01-01T00:00:00"/>
        <d v="2026-02-01T00:00:00"/>
        <d v="2026-03-01T00:00:00"/>
        <d v="2026-04-01T00:00:00"/>
        <d v="2026-05-01T00:00:00"/>
      </sharedItems>
    </cacheField>
    <cacheField name="Category" numFmtId="0">
      <sharedItems count="5">
        <s v="Food"/>
        <s v="Transport"/>
        <s v="Groceries"/>
        <s v="Entertainment"/>
        <s v="Utilities"/>
      </sharedItems>
    </cacheField>
    <cacheField name="Description" numFmtId="0">
      <sharedItems/>
    </cacheField>
    <cacheField name="Payment Mode" numFmtId="0">
      <sharedItems count="3">
        <s v="Cash"/>
        <s v="UPI"/>
        <s v="Card"/>
      </sharedItems>
    </cacheField>
    <cacheField name="Amount" numFmtId="0">
      <sharedItems containsSemiMixedTypes="0" containsString="0" containsNumber="1" containsInteger="1" minValue="40" maxValue="520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x v="0"/>
    <x v="0"/>
    <s v="Lunch"/>
    <x v="0"/>
    <n v="150"/>
  </r>
  <r>
    <x v="0"/>
    <x v="1"/>
    <s v="Bus fare"/>
    <x v="1"/>
    <n v="40"/>
  </r>
  <r>
    <x v="1"/>
    <x v="2"/>
    <s v="Vegetables"/>
    <x v="2"/>
    <n v="520"/>
  </r>
  <r>
    <x v="2"/>
    <x v="3"/>
    <s v="Movie"/>
    <x v="1"/>
    <n v="300"/>
  </r>
  <r>
    <x v="3"/>
    <x v="4"/>
    <s v="Mobile Recharge"/>
    <x v="1"/>
    <n v="249"/>
  </r>
  <r>
    <x v="4"/>
    <x v="0"/>
    <s v="Dinner"/>
    <x v="0"/>
    <n v="2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5" cacheId="6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A18:B24" firstHeaderRow="1" firstDataRow="1" firstDataCol="1"/>
  <pivotFields count="5">
    <pivotField axis="axisRow" numFmtId="14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Amount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3" cacheId="6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A12:B16" firstHeaderRow="1" firstDataRow="1" firstDataCol="1"/>
  <pivotFields count="5">
    <pivotField numFmtId="14"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dataField="1"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mount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1" cacheId="6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A3:B9" firstHeaderRow="1" firstDataRow="1" firstDataCol="1"/>
  <pivotFields count="5">
    <pivotField numFmtId="14" showAll="0"/>
    <pivotField axis="axisRow" showAll="0">
      <items count="6">
        <item x="3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Amount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2"/>
  <sheetViews>
    <sheetView workbookViewId="0">
      <selection activeCell="G13" sqref="G13"/>
    </sheetView>
  </sheetViews>
  <sheetFormatPr defaultRowHeight="15"/>
  <sheetData>
    <row r="1" spans="1:8" ht="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8">
      <c r="A2" s="2">
        <v>46023</v>
      </c>
      <c r="B2" s="3" t="s">
        <v>5</v>
      </c>
      <c r="C2" s="3" t="s">
        <v>6</v>
      </c>
      <c r="D2" s="3" t="s">
        <v>7</v>
      </c>
      <c r="E2" s="3">
        <v>150</v>
      </c>
    </row>
    <row r="3" spans="1:8" ht="30">
      <c r="A3" s="2">
        <v>46023</v>
      </c>
      <c r="B3" s="3" t="s">
        <v>8</v>
      </c>
      <c r="C3" s="3" t="s">
        <v>9</v>
      </c>
      <c r="D3" s="3" t="s">
        <v>10</v>
      </c>
      <c r="E3" s="3">
        <v>40</v>
      </c>
    </row>
    <row r="4" spans="1:8" ht="30">
      <c r="A4" s="2">
        <v>46054</v>
      </c>
      <c r="B4" s="3" t="s">
        <v>11</v>
      </c>
      <c r="C4" s="3" t="s">
        <v>12</v>
      </c>
      <c r="D4" s="3" t="s">
        <v>13</v>
      </c>
      <c r="E4" s="3">
        <v>520</v>
      </c>
    </row>
    <row r="5" spans="1:8" ht="30">
      <c r="A5" s="2">
        <v>46082</v>
      </c>
      <c r="B5" s="3" t="s">
        <v>14</v>
      </c>
      <c r="C5" s="3" t="s">
        <v>15</v>
      </c>
      <c r="D5" s="3" t="s">
        <v>10</v>
      </c>
      <c r="E5" s="3">
        <v>300</v>
      </c>
    </row>
    <row r="6" spans="1:8" ht="30">
      <c r="A6" s="2">
        <v>46113</v>
      </c>
      <c r="B6" s="3" t="s">
        <v>16</v>
      </c>
      <c r="C6" s="3" t="s">
        <v>17</v>
      </c>
      <c r="D6" s="3" t="s">
        <v>10</v>
      </c>
      <c r="E6" s="3">
        <v>249</v>
      </c>
    </row>
    <row r="7" spans="1:8">
      <c r="A7" s="2">
        <v>46143</v>
      </c>
      <c r="B7" s="3" t="s">
        <v>5</v>
      </c>
      <c r="C7" s="3" t="s">
        <v>18</v>
      </c>
      <c r="D7" s="3" t="s">
        <v>7</v>
      </c>
      <c r="E7" s="3">
        <v>220</v>
      </c>
    </row>
    <row r="12" spans="1:8">
      <c r="H12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"/>
  <sheetViews>
    <sheetView workbookViewId="0">
      <selection activeCell="E13" sqref="E13"/>
    </sheetView>
  </sheetViews>
  <sheetFormatPr defaultRowHeight="15"/>
  <sheetData>
    <row r="1" spans="1:5" ht="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>
        <v>46023</v>
      </c>
      <c r="B2" s="3" t="s">
        <v>5</v>
      </c>
      <c r="C2" s="3" t="s">
        <v>6</v>
      </c>
      <c r="D2" s="3" t="s">
        <v>7</v>
      </c>
      <c r="E2" s="3">
        <v>150</v>
      </c>
    </row>
    <row r="3" spans="1:5" ht="30">
      <c r="A3" s="2">
        <v>46023</v>
      </c>
      <c r="B3" s="3" t="s">
        <v>8</v>
      </c>
      <c r="C3" s="3" t="s">
        <v>9</v>
      </c>
      <c r="D3" s="3" t="s">
        <v>10</v>
      </c>
      <c r="E3" s="3">
        <v>40</v>
      </c>
    </row>
    <row r="4" spans="1:5" ht="30">
      <c r="A4" s="2">
        <v>46054</v>
      </c>
      <c r="B4" s="3" t="s">
        <v>11</v>
      </c>
      <c r="C4" s="3" t="s">
        <v>12</v>
      </c>
      <c r="D4" s="3" t="s">
        <v>13</v>
      </c>
      <c r="E4" s="3">
        <v>520</v>
      </c>
    </row>
    <row r="5" spans="1:5" ht="30">
      <c r="A5" s="2">
        <v>46082</v>
      </c>
      <c r="B5" s="3" t="s">
        <v>14</v>
      </c>
      <c r="C5" s="3" t="s">
        <v>15</v>
      </c>
      <c r="D5" s="3" t="s">
        <v>10</v>
      </c>
      <c r="E5" s="3">
        <v>300</v>
      </c>
    </row>
    <row r="6" spans="1:5" ht="30">
      <c r="A6" s="2">
        <v>46113</v>
      </c>
      <c r="B6" s="3" t="s">
        <v>16</v>
      </c>
      <c r="C6" s="3" t="s">
        <v>17</v>
      </c>
      <c r="D6" s="3" t="s">
        <v>10</v>
      </c>
      <c r="E6" s="3">
        <v>249</v>
      </c>
    </row>
    <row r="7" spans="1:5">
      <c r="A7" s="2">
        <v>46143</v>
      </c>
      <c r="B7" s="3" t="s">
        <v>5</v>
      </c>
      <c r="C7" s="3" t="s">
        <v>18</v>
      </c>
      <c r="D7" s="3" t="s">
        <v>7</v>
      </c>
      <c r="E7" s="3">
        <v>220</v>
      </c>
    </row>
    <row r="9" spans="1:5">
      <c r="B9">
        <f>SUMIF(B2:B7,"FOOD",E2:E7)</f>
        <v>370</v>
      </c>
      <c r="E9">
        <f>SUM(E2:E7)</f>
        <v>1479</v>
      </c>
    </row>
    <row r="10" spans="1:5">
      <c r="E10">
        <f>COUNT(E2:E7)</f>
        <v>6</v>
      </c>
    </row>
    <row r="11" spans="1:5">
      <c r="E11">
        <f>AVERAGE(E2:E7)</f>
        <v>246.5</v>
      </c>
    </row>
    <row r="12" spans="1:5">
      <c r="E12">
        <f>MAX(E2:E7)</f>
        <v>520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3:B24"/>
  <sheetViews>
    <sheetView tabSelected="1" workbookViewId="0">
      <selection activeCell="O23" sqref="O23"/>
    </sheetView>
  </sheetViews>
  <sheetFormatPr defaultRowHeight="15"/>
  <cols>
    <col min="1" max="1" width="14" bestFit="1" customWidth="1"/>
    <col min="2" max="2" width="14.85546875" bestFit="1" customWidth="1"/>
  </cols>
  <sheetData>
    <row r="3" spans="1:2">
      <c r="A3" s="4" t="s">
        <v>20</v>
      </c>
      <c r="B3" t="s">
        <v>22</v>
      </c>
    </row>
    <row r="4" spans="1:2">
      <c r="A4" s="5" t="s">
        <v>14</v>
      </c>
      <c r="B4" s="6">
        <v>300</v>
      </c>
    </row>
    <row r="5" spans="1:2">
      <c r="A5" s="5" t="s">
        <v>5</v>
      </c>
      <c r="B5" s="6">
        <v>370</v>
      </c>
    </row>
    <row r="6" spans="1:2">
      <c r="A6" s="5" t="s">
        <v>11</v>
      </c>
      <c r="B6" s="6">
        <v>520</v>
      </c>
    </row>
    <row r="7" spans="1:2">
      <c r="A7" s="5" t="s">
        <v>8</v>
      </c>
      <c r="B7" s="6">
        <v>40</v>
      </c>
    </row>
    <row r="8" spans="1:2">
      <c r="A8" s="5" t="s">
        <v>16</v>
      </c>
      <c r="B8" s="6">
        <v>249</v>
      </c>
    </row>
    <row r="9" spans="1:2">
      <c r="A9" s="5" t="s">
        <v>21</v>
      </c>
      <c r="B9" s="6">
        <v>1479</v>
      </c>
    </row>
    <row r="12" spans="1:2">
      <c r="A12" s="4" t="s">
        <v>20</v>
      </c>
      <c r="B12" t="s">
        <v>22</v>
      </c>
    </row>
    <row r="13" spans="1:2">
      <c r="A13" s="5" t="s">
        <v>13</v>
      </c>
      <c r="B13" s="6">
        <v>520</v>
      </c>
    </row>
    <row r="14" spans="1:2">
      <c r="A14" s="5" t="s">
        <v>7</v>
      </c>
      <c r="B14" s="6">
        <v>370</v>
      </c>
    </row>
    <row r="15" spans="1:2">
      <c r="A15" s="5" t="s">
        <v>10</v>
      </c>
      <c r="B15" s="6">
        <v>589</v>
      </c>
    </row>
    <row r="16" spans="1:2">
      <c r="A16" s="5" t="s">
        <v>21</v>
      </c>
      <c r="B16" s="6">
        <v>1479</v>
      </c>
    </row>
    <row r="18" spans="1:2">
      <c r="A18" s="4" t="s">
        <v>20</v>
      </c>
      <c r="B18" t="s">
        <v>22</v>
      </c>
    </row>
    <row r="19" spans="1:2">
      <c r="A19" s="7">
        <v>46023</v>
      </c>
      <c r="B19" s="6">
        <v>190</v>
      </c>
    </row>
    <row r="20" spans="1:2">
      <c r="A20" s="7">
        <v>46054</v>
      </c>
      <c r="B20" s="6">
        <v>520</v>
      </c>
    </row>
    <row r="21" spans="1:2">
      <c r="A21" s="7">
        <v>46082</v>
      </c>
      <c r="B21" s="6">
        <v>300</v>
      </c>
    </row>
    <row r="22" spans="1:2">
      <c r="A22" s="7">
        <v>46113</v>
      </c>
      <c r="B22" s="6">
        <v>249</v>
      </c>
    </row>
    <row r="23" spans="1:2">
      <c r="A23" s="7">
        <v>46143</v>
      </c>
      <c r="B23" s="6">
        <v>220</v>
      </c>
    </row>
    <row r="24" spans="1:2">
      <c r="A24" s="7" t="s">
        <v>21</v>
      </c>
      <c r="B24" s="6">
        <v>1479</v>
      </c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Summary</vt:lpstr>
      <vt:lpstr>pivot_Analysis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2026-01-06T04:58:02Z</dcterms:created>
  <dcterms:modified xsi:type="dcterms:W3CDTF">2026-01-06T15:35:18Z</dcterms:modified>
</cp:coreProperties>
</file>